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(Foaie1)" sheetId="1" r:id="rId5"/>
  </sheets>
  <definedNames/>
  <calcPr/>
</workbook>
</file>

<file path=xl/sharedStrings.xml><?xml version="1.0" encoding="utf-8"?>
<sst xmlns="http://schemas.openxmlformats.org/spreadsheetml/2006/main" count="43" uniqueCount="37">
  <si>
    <t>Name</t>
  </si>
  <si>
    <t>Category</t>
  </si>
  <si>
    <t>Qty</t>
  </si>
  <si>
    <t>Price</t>
  </si>
  <si>
    <t>Designator</t>
  </si>
  <si>
    <t>Gerber_PCB1.zip</t>
  </si>
  <si>
    <t>PCB</t>
  </si>
  <si>
    <t>CF1/6W-5.1KΩ±5% T</t>
  </si>
  <si>
    <t>R1,R2</t>
  </si>
  <si>
    <t>PCB Assembly</t>
  </si>
  <si>
    <t>SH-1808SN-250gf</t>
  </si>
  <si>
    <t>SW10,SW11</t>
  </si>
  <si>
    <t>Panel.stl</t>
  </si>
  <si>
    <t>3D Print</t>
  </si>
  <si>
    <t>HS91L02W2C01</t>
  </si>
  <si>
    <t>OLED1</t>
  </si>
  <si>
    <t>Cap.stl</t>
  </si>
  <si>
    <t>ME6211C33M5G-N</t>
  </si>
  <si>
    <t>LDO1</t>
  </si>
  <si>
    <t>Case.stl</t>
  </si>
  <si>
    <t>OVETGLJANF-40MHZ</t>
  </si>
  <si>
    <t>X1</t>
  </si>
  <si>
    <t>CL05A104KA5NNNC</t>
  </si>
  <si>
    <t>C1,C2,C3,C4,C5</t>
  </si>
  <si>
    <t>Shipping</t>
  </si>
  <si>
    <t>CPG151101S11-16</t>
  </si>
  <si>
    <t>SW1,SW2,SW3,SW4,SW5,SW6,SW7,SW8,SW9</t>
  </si>
  <si>
    <t>Coupon</t>
  </si>
  <si>
    <t>ESP32-S3</t>
  </si>
  <si>
    <t>U1</t>
  </si>
  <si>
    <t>TYPE-C16PIN</t>
  </si>
  <si>
    <t>USB1</t>
  </si>
  <si>
    <t>TOTAL PRICE</t>
  </si>
  <si>
    <t>MF2WS-10KΩ±1%T</t>
  </si>
  <si>
    <t>R3</t>
  </si>
  <si>
    <t>Total</t>
  </si>
  <si>
    <t>* Note: Component prices are included in the PCB Assembly cost ($50.08)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</si>
</sst>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$#,##0.0000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sz val="10.0"/>
      <color theme="1"/>
      <name val="Roboto"/>
    </font>
    <font/>
    <font>
      <b/>
      <sz val="10.0"/>
      <color theme="1"/>
      <name val="Roboto"/>
    </font>
    <font>
      <i/>
      <color rgb="FF6B727A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</fills>
  <borders count="6">
    <border/>
    <border>
      <bottom style="thin">
        <color rgb="FFE5E5EA"/>
      </bottom>
    </border>
    <border>
      <top style="thin">
        <color rgb="FFE5E5EA"/>
      </top>
      <bottom style="thin">
        <color rgb="FFE5E5EA"/>
      </bottom>
    </border>
    <border>
      <top style="thin">
        <color rgb="FFE5E5EA"/>
      </top>
      <bottom style="thin">
        <color rgb="FFD1D4DB"/>
      </bottom>
    </border>
    <border>
      <top style="thin">
        <color rgb="FF9BA3AF"/>
      </top>
      <bottom style="double">
        <color rgb="FF1E3989"/>
      </bottom>
    </border>
    <border>
      <top style="thin">
        <color rgb="FFE5E5EA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ill="1" applyFont="1">
      <alignment horizontal="right" readingOrder="0" vertical="center"/>
    </xf>
    <xf borderId="0" fillId="0" fontId="2" numFmtId="0" xfId="0" applyAlignment="1" applyFont="1">
      <alignment vertical="center"/>
    </xf>
    <xf borderId="1" fillId="0" fontId="3" numFmtId="0" xfId="0" applyBorder="1" applyFont="1"/>
    <xf borderId="2" fillId="0" fontId="2" numFmtId="0" xfId="0" applyAlignment="1" applyBorder="1" applyFont="1">
      <alignment horizontal="left" readingOrder="0" vertical="center"/>
    </xf>
    <xf borderId="2" fillId="0" fontId="2" numFmtId="3" xfId="0" applyAlignment="1" applyBorder="1" applyFont="1" applyNumberFormat="1">
      <alignment horizontal="right" readingOrder="0" vertical="center"/>
    </xf>
    <xf borderId="2" fillId="0" fontId="2" numFmtId="164" xfId="0" applyAlignment="1" applyBorder="1" applyFont="1" applyNumberFormat="1">
      <alignment horizontal="right" readingOrder="0" vertical="center"/>
    </xf>
    <xf borderId="2" fillId="0" fontId="3" numFmtId="0" xfId="0" applyBorder="1" applyFont="1"/>
    <xf borderId="2" fillId="0" fontId="2" numFmtId="0" xfId="0" applyAlignment="1" applyBorder="1" applyFont="1">
      <alignment horizontal="right" readingOrder="0" vertical="center"/>
    </xf>
    <xf borderId="2" fillId="0" fontId="2" numFmtId="165" xfId="0" applyAlignment="1" applyBorder="1" applyFont="1" applyNumberFormat="1">
      <alignment horizontal="right" readingOrder="0" vertical="center"/>
    </xf>
    <xf borderId="3" fillId="0" fontId="2" numFmtId="0" xfId="0" applyAlignment="1" applyBorder="1" applyFont="1">
      <alignment horizontal="left" readingOrder="0" vertical="center"/>
    </xf>
    <xf borderId="3" fillId="0" fontId="2" numFmtId="3" xfId="0" applyAlignment="1" applyBorder="1" applyFont="1" applyNumberFormat="1">
      <alignment horizontal="right" readingOrder="0" vertical="center"/>
    </xf>
    <xf borderId="3" fillId="0" fontId="2" numFmtId="164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2" numFmtId="0" xfId="0" applyAlignment="1" applyFont="1">
      <alignment horizontal="left" readingOrder="0" vertical="center"/>
    </xf>
    <xf borderId="0" fillId="0" fontId="2" numFmtId="3" xfId="0" applyAlignment="1" applyFont="1" applyNumberFormat="1">
      <alignment horizontal="right"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3" xfId="0" applyAlignment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vertical="center"/>
    </xf>
    <xf borderId="4" fillId="0" fontId="2" numFmtId="0" xfId="0" applyAlignment="1" applyBorder="1" applyFont="1">
      <alignment vertical="center"/>
    </xf>
    <xf borderId="4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right" vertical="center"/>
    </xf>
    <xf borderId="4" fillId="0" fontId="4" numFmtId="164" xfId="0" applyAlignment="1" applyBorder="1" applyFont="1" applyNumberFormat="1">
      <alignment horizontal="right" readingOrder="0" vertical="center"/>
    </xf>
    <xf borderId="3" fillId="0" fontId="3" numFmtId="0" xfId="0" applyBorder="1" applyFont="1"/>
    <xf borderId="3" fillId="0" fontId="2" numFmtId="0" xfId="0" applyAlignment="1" applyBorder="1" applyFont="1">
      <alignment horizontal="right" readingOrder="0" vertical="center"/>
    </xf>
    <xf borderId="5" fillId="0" fontId="2" numFmtId="165" xfId="0" applyAlignment="1" applyBorder="1" applyFont="1" applyNumberFormat="1">
      <alignment horizontal="right" readingOrder="0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">
    <tableStyle count="3" pivot="0" name="Book(Foaie1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D7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ook(Foaie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1.5"/>
    <col customWidth="1" min="3" max="3" width="3.38"/>
    <col customWidth="1" min="4" max="4" width="6.25"/>
    <col customWidth="1" min="8" max="8" width="16.75"/>
    <col customWidth="1" min="10" max="10" width="33.38"/>
    <col customWidth="1" min="11" max="11" width="3.38"/>
    <col customWidth="1" min="12" max="12" width="6.75"/>
    <col customWidth="1" min="13" max="13" width="8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1" t="s">
        <v>0</v>
      </c>
      <c r="I1" s="4"/>
      <c r="J1" s="1" t="s">
        <v>4</v>
      </c>
      <c r="K1" s="2" t="s">
        <v>2</v>
      </c>
      <c r="L1" s="2" t="s">
        <v>3</v>
      </c>
    </row>
    <row r="2">
      <c r="A2" s="5" t="s">
        <v>5</v>
      </c>
      <c r="B2" s="5" t="s">
        <v>6</v>
      </c>
      <c r="C2" s="6">
        <v>5.0</v>
      </c>
      <c r="D2" s="7">
        <v>4.0</v>
      </c>
      <c r="E2" s="3"/>
      <c r="F2" s="3"/>
      <c r="G2" s="3"/>
      <c r="H2" s="5" t="s">
        <v>7</v>
      </c>
      <c r="I2" s="8"/>
      <c r="J2" s="5" t="s">
        <v>8</v>
      </c>
      <c r="K2" s="9">
        <v>9.0</v>
      </c>
      <c r="L2" s="10">
        <v>0.0531</v>
      </c>
    </row>
    <row r="3">
      <c r="A3" s="5" t="s">
        <v>5</v>
      </c>
      <c r="B3" s="5" t="s">
        <v>9</v>
      </c>
      <c r="C3" s="6">
        <v>2.0</v>
      </c>
      <c r="D3" s="7">
        <v>50.08</v>
      </c>
      <c r="E3" s="3"/>
      <c r="F3" s="3"/>
      <c r="G3" s="3"/>
      <c r="H3" s="5" t="s">
        <v>10</v>
      </c>
      <c r="I3" s="8"/>
      <c r="J3" s="5" t="s">
        <v>11</v>
      </c>
      <c r="K3" s="9">
        <v>6.0</v>
      </c>
      <c r="L3" s="10">
        <v>0.1878</v>
      </c>
    </row>
    <row r="4">
      <c r="A4" s="5" t="s">
        <v>12</v>
      </c>
      <c r="B4" s="5" t="s">
        <v>13</v>
      </c>
      <c r="C4" s="6">
        <v>1.0</v>
      </c>
      <c r="D4" s="7">
        <v>2.09</v>
      </c>
      <c r="E4" s="3"/>
      <c r="F4" s="3"/>
      <c r="G4" s="3"/>
      <c r="H4" s="5" t="s">
        <v>14</v>
      </c>
      <c r="I4" s="8"/>
      <c r="J4" s="5" t="s">
        <v>15</v>
      </c>
      <c r="K4" s="9">
        <v>2.0</v>
      </c>
      <c r="L4" s="10">
        <v>4.6646</v>
      </c>
    </row>
    <row r="5">
      <c r="A5" s="5" t="s">
        <v>16</v>
      </c>
      <c r="B5" s="5" t="s">
        <v>13</v>
      </c>
      <c r="C5" s="6">
        <v>1.0</v>
      </c>
      <c r="D5" s="7">
        <v>0.58</v>
      </c>
      <c r="E5" s="3"/>
      <c r="F5" s="3"/>
      <c r="G5" s="3"/>
      <c r="H5" s="5" t="s">
        <v>17</v>
      </c>
      <c r="I5" s="8"/>
      <c r="J5" s="5" t="s">
        <v>18</v>
      </c>
      <c r="K5" s="9">
        <v>5.0</v>
      </c>
      <c r="L5" s="10">
        <v>0.299</v>
      </c>
    </row>
    <row r="6">
      <c r="A6" s="11" t="s">
        <v>19</v>
      </c>
      <c r="B6" s="11" t="s">
        <v>13</v>
      </c>
      <c r="C6" s="12">
        <v>1.0</v>
      </c>
      <c r="D6" s="13">
        <v>1.69</v>
      </c>
      <c r="E6" s="3"/>
      <c r="F6" s="3"/>
      <c r="G6" s="3"/>
      <c r="H6" s="5" t="s">
        <v>20</v>
      </c>
      <c r="I6" s="8"/>
      <c r="J6" s="5" t="s">
        <v>21</v>
      </c>
      <c r="K6" s="9">
        <v>2.0</v>
      </c>
      <c r="L6" s="10">
        <v>1.4096</v>
      </c>
    </row>
    <row r="7">
      <c r="A7" s="14"/>
      <c r="B7" s="14"/>
      <c r="C7" s="15"/>
      <c r="D7" s="16"/>
      <c r="E7" s="3"/>
      <c r="F7" s="3"/>
      <c r="G7" s="3"/>
      <c r="H7" s="5" t="s">
        <v>22</v>
      </c>
      <c r="I7" s="8"/>
      <c r="J7" s="5" t="s">
        <v>23</v>
      </c>
      <c r="K7" s="9">
        <v>20.0</v>
      </c>
      <c r="L7" s="10">
        <v>0.132</v>
      </c>
    </row>
    <row r="8">
      <c r="A8" s="3"/>
      <c r="B8" s="17" t="s">
        <v>24</v>
      </c>
      <c r="C8" s="18"/>
      <c r="D8" s="19">
        <v>18.96</v>
      </c>
      <c r="E8" s="3"/>
      <c r="F8" s="3"/>
      <c r="G8" s="3"/>
      <c r="H8" s="5" t="s">
        <v>25</v>
      </c>
      <c r="I8" s="8"/>
      <c r="J8" s="5" t="s">
        <v>26</v>
      </c>
      <c r="K8" s="9">
        <v>18.0</v>
      </c>
      <c r="L8" s="10">
        <v>0.8028</v>
      </c>
    </row>
    <row r="9">
      <c r="A9" s="3"/>
      <c r="B9" s="17" t="s">
        <v>27</v>
      </c>
      <c r="C9" s="20">
        <v>1.0</v>
      </c>
      <c r="D9" s="19">
        <v>-10.0</v>
      </c>
      <c r="E9" s="3"/>
      <c r="F9" s="3"/>
      <c r="G9" s="3"/>
      <c r="H9" s="5" t="s">
        <v>28</v>
      </c>
      <c r="I9" s="8"/>
      <c r="J9" s="5" t="s">
        <v>29</v>
      </c>
      <c r="K9" s="9">
        <v>2.0</v>
      </c>
      <c r="L9" s="10">
        <v>5.7582</v>
      </c>
    </row>
    <row r="10">
      <c r="A10" s="3"/>
      <c r="B10" s="3"/>
      <c r="C10" s="18"/>
      <c r="D10" s="21"/>
      <c r="E10" s="3"/>
      <c r="F10" s="3"/>
      <c r="G10" s="3"/>
      <c r="H10" s="5" t="s">
        <v>30</v>
      </c>
      <c r="I10" s="8"/>
      <c r="J10" s="5" t="s">
        <v>31</v>
      </c>
      <c r="K10" s="9">
        <v>2.0</v>
      </c>
      <c r="L10" s="10">
        <v>0.1374</v>
      </c>
    </row>
    <row r="11">
      <c r="A11" s="22"/>
      <c r="B11" s="23" t="s">
        <v>32</v>
      </c>
      <c r="C11" s="24"/>
      <c r="D11" s="25">
        <f>SUM(D2:D10)</f>
        <v>67.4</v>
      </c>
      <c r="E11" s="3"/>
      <c r="F11" s="3"/>
      <c r="G11" s="3"/>
      <c r="H11" s="11" t="s">
        <v>33</v>
      </c>
      <c r="I11" s="26"/>
      <c r="J11" s="11" t="s">
        <v>34</v>
      </c>
      <c r="K11" s="27">
        <v>3.0</v>
      </c>
      <c r="L11" s="28">
        <v>0.1236</v>
      </c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24" t="s">
        <v>35</v>
      </c>
      <c r="L12" s="25">
        <f>SUM(L2:L11)</f>
        <v>13.5681</v>
      </c>
    </row>
    <row r="13">
      <c r="H13" s="29" t="s">
        <v>36</v>
      </c>
    </row>
  </sheetData>
  <mergeCells count="12">
    <mergeCell ref="H8:I8"/>
    <mergeCell ref="H9:I9"/>
    <mergeCell ref="H10:I10"/>
    <mergeCell ref="H11:I11"/>
    <mergeCell ref="H13:L13"/>
    <mergeCell ref="H1:I1"/>
    <mergeCell ref="H2:I2"/>
    <mergeCell ref="H3:I3"/>
    <mergeCell ref="H4:I4"/>
    <mergeCell ref="H5:I5"/>
    <mergeCell ref="H6:I6"/>
    <mergeCell ref="H7:I7"/>
  </mergeCells>
  <drawing r:id="rId1"/>
  <tableParts count="1">
    <tablePart r:id="rId3"/>
  </tableParts>
</worksheet>
</file>